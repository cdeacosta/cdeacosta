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deacosta/Downloads/"/>
    </mc:Choice>
  </mc:AlternateContent>
  <xr:revisionPtr revIDLastSave="0" documentId="13_ncr:1_{91203959-1A75-E447-B076-A02B555BD2DE}" xr6:coauthVersionLast="47" xr6:coauthVersionMax="47" xr10:uidLastSave="{00000000-0000-0000-0000-000000000000}"/>
  <bookViews>
    <workbookView xWindow="40100" yWindow="-2660" windowWidth="35180" windowHeight="20280" xr2:uid="{00000000-000D-0000-FFFF-FFFF00000000}"/>
  </bookViews>
  <sheets>
    <sheet name="RMR Overview" sheetId="1" r:id="rId1"/>
    <sheet name="FinOps KPIs" sheetId="2" r:id="rId2"/>
    <sheet name="SRE KPIs" sheetId="3" r:id="rId3"/>
    <sheet name="NRR &amp; Variable Revenue" sheetId="4" r:id="rId4"/>
    <sheet name="Contract Metrics" sheetId="5" r:id="rId5"/>
    <sheet name="Efficiency &amp; Profitability" sheetId="6" r:id="rId6"/>
    <sheet name="Dashboard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3" i="1"/>
  <c r="B7" i="7"/>
  <c r="B6" i="7"/>
  <c r="B5" i="7"/>
  <c r="B4" i="7"/>
  <c r="B3" i="7"/>
  <c r="B2" i="7"/>
</calcChain>
</file>

<file path=xl/sharedStrings.xml><?xml version="1.0" encoding="utf-8"?>
<sst xmlns="http://schemas.openxmlformats.org/spreadsheetml/2006/main" count="150" uniqueCount="95">
  <si>
    <t>Month</t>
  </si>
  <si>
    <t>Total Contracted RMR</t>
  </si>
  <si>
    <t>FinOps RMR</t>
  </si>
  <si>
    <t>SRE RMR</t>
  </si>
  <si>
    <t>RMR Growth %</t>
  </si>
  <si>
    <t>RMR per Endpoint/User/Device</t>
  </si>
  <si>
    <t>Jan</t>
  </si>
  <si>
    <t>Feb</t>
  </si>
  <si>
    <t>Mar</t>
  </si>
  <si>
    <t>Apr</t>
  </si>
  <si>
    <t>Cloud Cost per App</t>
  </si>
  <si>
    <t>Cost Savings (Actual)</t>
  </si>
  <si>
    <t>Cost Savings (Target)</t>
  </si>
  <si>
    <t>Compute Utilization</t>
  </si>
  <si>
    <t>Storage Utilization</t>
  </si>
  <si>
    <t>Network Utilization</t>
  </si>
  <si>
    <t>RI Coverage %</t>
  </si>
  <si>
    <t>RI Utilization %</t>
  </si>
  <si>
    <t>Waste Identified ($)</t>
  </si>
  <si>
    <t>Waste Remediated ($)</t>
  </si>
  <si>
    <t>Cost Avoidance ($)</t>
  </si>
  <si>
    <t>SLA Adherence %</t>
  </si>
  <si>
    <t>Incident Resolution Time (hrs)</t>
  </si>
  <si>
    <t>Change Success Rate %</t>
  </si>
  <si>
    <t>App Response Time (ms)</t>
  </si>
  <si>
    <t>Throughput (Tx/sec)</t>
  </si>
  <si>
    <t>Compliance Adherence %</t>
  </si>
  <si>
    <t>Security Incident Rate</t>
  </si>
  <si>
    <t>Policy Enforcement Rate</t>
  </si>
  <si>
    <t>Audit Findings</t>
  </si>
  <si>
    <t>Remediation Time (days)</t>
  </si>
  <si>
    <t>Automation Rate %</t>
  </si>
  <si>
    <t>Time on Optimization %</t>
  </si>
  <si>
    <t>Estimated Savings from Automation ($)</t>
  </si>
  <si>
    <t>Cost Report Timeliness</t>
  </si>
  <si>
    <t>Cost Data Granularity</t>
  </si>
  <si>
    <t>Actionable Insights Provided</t>
  </si>
  <si>
    <t>On Time</t>
  </si>
  <si>
    <t>High</t>
  </si>
  <si>
    <t>Yes</t>
  </si>
  <si>
    <t>SLO Achievement %</t>
  </si>
  <si>
    <t>Error Budget Usage %</t>
  </si>
  <si>
    <t>MTTD (mins)</t>
  </si>
  <si>
    <t>MTTR (mins)</t>
  </si>
  <si>
    <t>Incident Frequency</t>
  </si>
  <si>
    <t>High Severity Incidents</t>
  </si>
  <si>
    <t>Latency (p95)</t>
  </si>
  <si>
    <t>Latency (p99)</t>
  </si>
  <si>
    <t>CPU Utilization %</t>
  </si>
  <si>
    <t>Memory Utilization %</t>
  </si>
  <si>
    <t>Network Utilization %</t>
  </si>
  <si>
    <t>Deployment Frequency</t>
  </si>
  <si>
    <t>Deployment Lead Time (hrs)</t>
  </si>
  <si>
    <t>NPS Score</t>
  </si>
  <si>
    <t>CSAT Score</t>
  </si>
  <si>
    <t>Downtime Cost ($)</t>
  </si>
  <si>
    <t>Feature Velocity</t>
  </si>
  <si>
    <t>On-call Load (hours)</t>
  </si>
  <si>
    <t>Proactive vs Reactive Time %</t>
  </si>
  <si>
    <t>Postmortem Quality Score</t>
  </si>
  <si>
    <t>Documentation Completeness Score</t>
  </si>
  <si>
    <t>Project Revenue ($)</t>
  </si>
  <si>
    <t>Ad-Hoc Revenue ($)</t>
  </si>
  <si>
    <t>Resale Revenue ($)</t>
  </si>
  <si>
    <t>Resale Margin %</t>
  </si>
  <si>
    <t>Usage-Based Revenue ($)</t>
  </si>
  <si>
    <t>Performance Incentives Earned ($)</t>
  </si>
  <si>
    <t>Contract Start</t>
  </si>
  <si>
    <t>Contract End</t>
  </si>
  <si>
    <t>TCV ($)</t>
  </si>
  <si>
    <t>ACV ($)</t>
  </si>
  <si>
    <t>Renewal Rate %</t>
  </si>
  <si>
    <t>2025-01-01</t>
  </si>
  <si>
    <t>2025-12-31</t>
  </si>
  <si>
    <t>Revenue per FTE ($)</t>
  </si>
  <si>
    <t>Gross Profit Margin %</t>
  </si>
  <si>
    <t>Metric</t>
  </si>
  <si>
    <t>Value</t>
  </si>
  <si>
    <t>Total RMR (April)</t>
  </si>
  <si>
    <t>RMR Growth (Jan to Apr)</t>
  </si>
  <si>
    <t>FinOps RMR (April)</t>
  </si>
  <si>
    <t>SRE RMR (April)</t>
  </si>
  <si>
    <t>Revenue per FTE (April)</t>
  </si>
  <si>
    <t>Gross Profit Margin % (April)</t>
  </si>
  <si>
    <t>RMR Trend Sparkline</t>
  </si>
  <si>
    <t>Insert =SPARKLINE('RMR Overview'!B2:B5) here manually</t>
  </si>
  <si>
    <t>May</t>
  </si>
  <si>
    <t>Jun</t>
  </si>
  <si>
    <t>Jul</t>
  </si>
  <si>
    <t>Aug</t>
  </si>
  <si>
    <t>Sep</t>
  </si>
  <si>
    <t>Oct</t>
  </si>
  <si>
    <t>Nov</t>
  </si>
  <si>
    <t>Dec</t>
  </si>
  <si>
    <t>Contract Start Data Actual:  October 1st, 2024 for 3 months.  Renewal, January 1st,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</si>
</sst>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April 2025 KPI Snapshot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KPI Snapshot</c:v>
          </c:tx>
          <c:invertIfNegative val="0"/>
          <c:cat>
            <c:strRef>
              <c:f>'Dashboard Summary'!$A$2:$A$6</c:f>
              <c:strCache>
                <c:ptCount val="5"/>
                <c:pt idx="0">
                  <c:v>Total RMR (April)</c:v>
                </c:pt>
                <c:pt idx="1">
                  <c:v>RMR Growth (Jan to Apr)</c:v>
                </c:pt>
                <c:pt idx="2">
                  <c:v>FinOps RMR (April)</c:v>
                </c:pt>
                <c:pt idx="3">
                  <c:v>SRE RMR (April)</c:v>
                </c:pt>
                <c:pt idx="4">
                  <c:v>Revenue per FTE (April)</c:v>
                </c:pt>
              </c:strCache>
            </c:strRef>
          </c:cat>
          <c:val>
            <c:numRef>
              <c:f>'Dashboard Summary'!$B$2:$B$6</c:f>
              <c:numCache>
                <c:formatCode>General</c:formatCode>
                <c:ptCount val="5"/>
                <c:pt idx="0">
                  <c:v>11500</c:v>
                </c:pt>
                <c:pt idx="1">
                  <c:v>0.14999999999999991</c:v>
                </c:pt>
                <c:pt idx="2">
                  <c:v>6900</c:v>
                </c:pt>
                <c:pt idx="3">
                  <c:v>4600</c:v>
                </c:pt>
                <c:pt idx="4">
                  <c:v>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6-2541-99B8-A80A62FC6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9</xdr:row>
      <xdr:rowOff>0</xdr:rowOff>
    </xdr:from>
    <xdr:to>
      <xdr:col>13</xdr:col>
      <xdr:colOff>63500</xdr:colOff>
      <xdr:row>40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29" zoomScaleNormal="129" workbookViewId="0">
      <selection activeCell="F10" sqref="F10"/>
    </sheetView>
  </sheetViews>
  <sheetFormatPr baseColWidth="10" defaultColWidth="8.83203125" defaultRowHeight="15" x14ac:dyDescent="0.2"/>
  <cols>
    <col min="1" max="6" width="27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10000</v>
      </c>
      <c r="C2">
        <v>6000</v>
      </c>
      <c r="D2">
        <v>4000</v>
      </c>
      <c r="E2">
        <v>0</v>
      </c>
      <c r="F2">
        <v>50</v>
      </c>
    </row>
    <row r="3" spans="1:6" x14ac:dyDescent="0.2">
      <c r="A3" t="s">
        <v>7</v>
      </c>
      <c r="B3">
        <v>9500</v>
      </c>
      <c r="C3">
        <v>6300</v>
      </c>
      <c r="D3">
        <v>4200</v>
      </c>
      <c r="E3">
        <f xml:space="preserve"> B3/B2 - 1</f>
        <v>-5.0000000000000044E-2</v>
      </c>
      <c r="F3">
        <v>51</v>
      </c>
    </row>
    <row r="4" spans="1:6" x14ac:dyDescent="0.2">
      <c r="A4" t="s">
        <v>8</v>
      </c>
      <c r="B4">
        <v>11000</v>
      </c>
      <c r="C4">
        <v>6600</v>
      </c>
      <c r="D4">
        <v>4400</v>
      </c>
      <c r="E4">
        <f t="shared" ref="E4:E5" si="0" xml:space="preserve"> B4/B3 - 1</f>
        <v>0.15789473684210531</v>
      </c>
      <c r="F4">
        <v>53</v>
      </c>
    </row>
    <row r="5" spans="1:6" x14ac:dyDescent="0.2">
      <c r="A5" t="s">
        <v>9</v>
      </c>
      <c r="B5">
        <v>11500</v>
      </c>
      <c r="C5">
        <v>6900</v>
      </c>
      <c r="D5">
        <v>4600</v>
      </c>
      <c r="E5">
        <f t="shared" si="0"/>
        <v>4.5454545454545414E-2</v>
      </c>
      <c r="F5">
        <v>55</v>
      </c>
    </row>
    <row r="6" spans="1:6" x14ac:dyDescent="0.2">
      <c r="A6" t="s">
        <v>86</v>
      </c>
    </row>
    <row r="7" spans="1:6" x14ac:dyDescent="0.2">
      <c r="A7" t="s">
        <v>87</v>
      </c>
    </row>
    <row r="8" spans="1:6" x14ac:dyDescent="0.2">
      <c r="A8" t="s">
        <v>88</v>
      </c>
    </row>
    <row r="9" spans="1:6" x14ac:dyDescent="0.2">
      <c r="A9" t="s">
        <v>89</v>
      </c>
    </row>
    <row r="10" spans="1:6" x14ac:dyDescent="0.2">
      <c r="A10" t="s">
        <v>90</v>
      </c>
    </row>
    <row r="11" spans="1:6" x14ac:dyDescent="0.2">
      <c r="A11" t="s">
        <v>91</v>
      </c>
    </row>
    <row r="12" spans="1:6" x14ac:dyDescent="0.2">
      <c r="A12" t="s">
        <v>92</v>
      </c>
    </row>
    <row r="13" spans="1:6" x14ac:dyDescent="0.2">
      <c r="A13" t="s">
        <v>93</v>
      </c>
    </row>
  </sheetData>
  <phoneticPr fontId="2" type="noConversion"/>
  <conditionalFormatting sqref="E2:E5">
    <cfRule type="cellIs" dxfId="3" priority="1" operator="greaterThanOrEqual">
      <formula>0</formula>
    </cfRule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"/>
  <sheetViews>
    <sheetView zoomScale="172" zoomScaleNormal="172" workbookViewId="0">
      <selection activeCell="B2" sqref="B2"/>
    </sheetView>
  </sheetViews>
  <sheetFormatPr baseColWidth="10" defaultColWidth="8.83203125" defaultRowHeight="15" x14ac:dyDescent="0.2"/>
  <cols>
    <col min="1" max="29" width="15.83203125" customWidth="1"/>
  </cols>
  <sheetData>
    <row r="1" spans="1:28" x14ac:dyDescent="0.2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</row>
    <row r="2" spans="1:28" x14ac:dyDescent="0.2">
      <c r="A2" t="s">
        <v>6</v>
      </c>
      <c r="B2">
        <v>200</v>
      </c>
      <c r="C2">
        <v>500</v>
      </c>
      <c r="D2">
        <v>400</v>
      </c>
      <c r="E2">
        <v>70</v>
      </c>
      <c r="F2">
        <v>65</v>
      </c>
      <c r="G2">
        <v>60</v>
      </c>
      <c r="H2">
        <v>50</v>
      </c>
      <c r="I2">
        <v>85</v>
      </c>
      <c r="J2">
        <v>100</v>
      </c>
      <c r="K2">
        <v>90</v>
      </c>
      <c r="L2">
        <v>300</v>
      </c>
      <c r="M2">
        <v>98</v>
      </c>
      <c r="N2">
        <v>4</v>
      </c>
      <c r="O2">
        <v>90</v>
      </c>
      <c r="P2">
        <v>200</v>
      </c>
      <c r="Q2">
        <v>1000</v>
      </c>
      <c r="R2">
        <v>95</v>
      </c>
      <c r="S2">
        <v>2</v>
      </c>
      <c r="T2">
        <v>85</v>
      </c>
      <c r="U2">
        <v>3</v>
      </c>
      <c r="V2">
        <v>5</v>
      </c>
      <c r="W2">
        <v>60</v>
      </c>
      <c r="X2">
        <v>40</v>
      </c>
      <c r="Y2">
        <v>200</v>
      </c>
      <c r="Z2" t="s">
        <v>37</v>
      </c>
      <c r="AA2" t="s">
        <v>38</v>
      </c>
      <c r="AB2" t="s">
        <v>39</v>
      </c>
    </row>
    <row r="3" spans="1:28" x14ac:dyDescent="0.2">
      <c r="A3" t="s">
        <v>7</v>
      </c>
      <c r="B3">
        <v>195</v>
      </c>
      <c r="C3">
        <v>1000</v>
      </c>
      <c r="D3">
        <v>900</v>
      </c>
      <c r="E3">
        <v>72</v>
      </c>
      <c r="F3">
        <v>68</v>
      </c>
      <c r="G3">
        <v>62</v>
      </c>
      <c r="H3">
        <v>55</v>
      </c>
      <c r="I3">
        <v>87</v>
      </c>
      <c r="J3">
        <v>90</v>
      </c>
      <c r="K3">
        <v>85</v>
      </c>
      <c r="L3">
        <v>350</v>
      </c>
      <c r="M3">
        <v>99</v>
      </c>
      <c r="N3">
        <v>3.5</v>
      </c>
      <c r="O3">
        <v>92</v>
      </c>
      <c r="P3">
        <v>190</v>
      </c>
      <c r="Q3">
        <v>1050</v>
      </c>
      <c r="R3">
        <v>96</v>
      </c>
      <c r="S3">
        <v>1</v>
      </c>
      <c r="T3">
        <v>88</v>
      </c>
      <c r="U3">
        <v>2</v>
      </c>
      <c r="V3">
        <v>4</v>
      </c>
      <c r="W3">
        <v>65</v>
      </c>
      <c r="X3">
        <v>45</v>
      </c>
      <c r="Y3">
        <v>300</v>
      </c>
      <c r="Z3" t="s">
        <v>37</v>
      </c>
      <c r="AA3" t="s">
        <v>38</v>
      </c>
      <c r="AB3" t="s">
        <v>39</v>
      </c>
    </row>
    <row r="4" spans="1:28" x14ac:dyDescent="0.2">
      <c r="A4" t="s">
        <v>8</v>
      </c>
      <c r="B4">
        <v>190</v>
      </c>
      <c r="C4">
        <v>1500</v>
      </c>
      <c r="D4">
        <v>1400</v>
      </c>
      <c r="E4">
        <v>75</v>
      </c>
      <c r="F4">
        <v>70</v>
      </c>
      <c r="G4">
        <v>65</v>
      </c>
      <c r="H4">
        <v>60</v>
      </c>
      <c r="I4">
        <v>89</v>
      </c>
      <c r="J4">
        <v>80</v>
      </c>
      <c r="K4">
        <v>75</v>
      </c>
      <c r="L4">
        <v>400</v>
      </c>
      <c r="M4">
        <v>99.5</v>
      </c>
      <c r="N4">
        <v>3</v>
      </c>
      <c r="O4">
        <v>94</v>
      </c>
      <c r="P4">
        <v>180</v>
      </c>
      <c r="Q4">
        <v>1100</v>
      </c>
      <c r="R4">
        <v>97</v>
      </c>
      <c r="S4">
        <v>1</v>
      </c>
      <c r="T4">
        <v>90</v>
      </c>
      <c r="U4">
        <v>1</v>
      </c>
      <c r="V4">
        <v>3</v>
      </c>
      <c r="W4">
        <v>70</v>
      </c>
      <c r="X4">
        <v>50</v>
      </c>
      <c r="Y4">
        <v>400</v>
      </c>
      <c r="Z4" t="s">
        <v>37</v>
      </c>
      <c r="AA4" t="s">
        <v>38</v>
      </c>
      <c r="AB4" t="s">
        <v>39</v>
      </c>
    </row>
    <row r="5" spans="1:28" x14ac:dyDescent="0.2">
      <c r="A5" t="s">
        <v>9</v>
      </c>
      <c r="B5">
        <v>185</v>
      </c>
      <c r="C5">
        <v>2000</v>
      </c>
      <c r="D5">
        <v>1900</v>
      </c>
      <c r="E5">
        <v>78</v>
      </c>
      <c r="F5">
        <v>73</v>
      </c>
      <c r="G5">
        <v>68</v>
      </c>
      <c r="H5">
        <v>65</v>
      </c>
      <c r="I5">
        <v>90</v>
      </c>
      <c r="J5">
        <v>70</v>
      </c>
      <c r="K5">
        <v>70</v>
      </c>
      <c r="L5">
        <v>450</v>
      </c>
      <c r="M5">
        <v>99.7</v>
      </c>
      <c r="N5">
        <v>2.5</v>
      </c>
      <c r="O5">
        <v>96</v>
      </c>
      <c r="P5">
        <v>170</v>
      </c>
      <c r="Q5">
        <v>1150</v>
      </c>
      <c r="R5">
        <v>98</v>
      </c>
      <c r="S5">
        <v>0</v>
      </c>
      <c r="T5">
        <v>92</v>
      </c>
      <c r="U5">
        <v>0</v>
      </c>
      <c r="V5">
        <v>2</v>
      </c>
      <c r="W5">
        <v>75</v>
      </c>
      <c r="X5">
        <v>55</v>
      </c>
      <c r="Y5">
        <v>500</v>
      </c>
      <c r="Z5" t="s">
        <v>37</v>
      </c>
      <c r="AA5" t="s">
        <v>38</v>
      </c>
      <c r="AB5" t="s">
        <v>39</v>
      </c>
    </row>
    <row r="6" spans="1:28" x14ac:dyDescent="0.2">
      <c r="A6" t="s">
        <v>86</v>
      </c>
    </row>
    <row r="7" spans="1:28" x14ac:dyDescent="0.2">
      <c r="A7" t="s">
        <v>87</v>
      </c>
    </row>
    <row r="8" spans="1:28" x14ac:dyDescent="0.2">
      <c r="A8" t="s">
        <v>88</v>
      </c>
    </row>
    <row r="9" spans="1:28" x14ac:dyDescent="0.2">
      <c r="A9" t="s">
        <v>89</v>
      </c>
    </row>
    <row r="10" spans="1:28" x14ac:dyDescent="0.2">
      <c r="A10" t="s">
        <v>90</v>
      </c>
    </row>
    <row r="11" spans="1:28" x14ac:dyDescent="0.2">
      <c r="A11" t="s">
        <v>91</v>
      </c>
    </row>
    <row r="12" spans="1:28" x14ac:dyDescent="0.2">
      <c r="A12" t="s">
        <v>92</v>
      </c>
    </row>
    <row r="13" spans="1:28" x14ac:dyDescent="0.2">
      <c r="A13" t="s">
        <v>93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"/>
  <sheetViews>
    <sheetView zoomScale="158" zoomScaleNormal="158" workbookViewId="0">
      <selection activeCell="F17" sqref="F17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25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31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</row>
    <row r="2" spans="1:24" x14ac:dyDescent="0.2">
      <c r="A2" t="s">
        <v>6</v>
      </c>
      <c r="B2">
        <v>95</v>
      </c>
      <c r="C2">
        <v>10</v>
      </c>
      <c r="D2">
        <v>15</v>
      </c>
      <c r="E2">
        <v>30</v>
      </c>
      <c r="F2">
        <v>5</v>
      </c>
      <c r="G2">
        <v>1</v>
      </c>
      <c r="H2">
        <v>300</v>
      </c>
      <c r="I2">
        <v>500</v>
      </c>
      <c r="J2">
        <v>1000</v>
      </c>
      <c r="K2">
        <v>70</v>
      </c>
      <c r="L2">
        <v>65</v>
      </c>
      <c r="M2">
        <v>60</v>
      </c>
      <c r="N2">
        <v>4</v>
      </c>
      <c r="O2">
        <v>12</v>
      </c>
      <c r="P2">
        <v>60</v>
      </c>
      <c r="Q2">
        <v>30</v>
      </c>
      <c r="R2">
        <v>80</v>
      </c>
      <c r="S2">
        <v>1000</v>
      </c>
      <c r="T2">
        <v>2</v>
      </c>
      <c r="U2">
        <v>10</v>
      </c>
      <c r="V2">
        <v>40</v>
      </c>
      <c r="W2">
        <v>3</v>
      </c>
      <c r="X2">
        <v>70</v>
      </c>
    </row>
    <row r="3" spans="1:24" x14ac:dyDescent="0.2">
      <c r="A3" t="s">
        <v>7</v>
      </c>
      <c r="B3">
        <v>96</v>
      </c>
      <c r="C3">
        <v>8</v>
      </c>
      <c r="D3">
        <v>12</v>
      </c>
      <c r="E3">
        <v>25</v>
      </c>
      <c r="F3">
        <v>4</v>
      </c>
      <c r="G3">
        <v>1</v>
      </c>
      <c r="H3">
        <v>290</v>
      </c>
      <c r="I3">
        <v>480</v>
      </c>
      <c r="J3">
        <v>1100</v>
      </c>
      <c r="K3">
        <v>72</v>
      </c>
      <c r="L3">
        <v>67</v>
      </c>
      <c r="M3">
        <v>63</v>
      </c>
      <c r="N3">
        <v>5</v>
      </c>
      <c r="O3">
        <v>11</v>
      </c>
      <c r="P3">
        <v>65</v>
      </c>
      <c r="Q3">
        <v>35</v>
      </c>
      <c r="R3">
        <v>85</v>
      </c>
      <c r="S3">
        <v>800</v>
      </c>
      <c r="T3">
        <v>3</v>
      </c>
      <c r="U3">
        <v>9</v>
      </c>
      <c r="V3">
        <v>45</v>
      </c>
      <c r="W3">
        <v>4</v>
      </c>
      <c r="X3">
        <v>75</v>
      </c>
    </row>
    <row r="4" spans="1:24" x14ac:dyDescent="0.2">
      <c r="A4" t="s">
        <v>8</v>
      </c>
      <c r="B4">
        <v>97</v>
      </c>
      <c r="C4">
        <v>6</v>
      </c>
      <c r="D4">
        <v>10</v>
      </c>
      <c r="E4">
        <v>20</v>
      </c>
      <c r="F4">
        <v>3</v>
      </c>
      <c r="G4">
        <v>0</v>
      </c>
      <c r="H4">
        <v>280</v>
      </c>
      <c r="I4">
        <v>460</v>
      </c>
      <c r="J4">
        <v>1200</v>
      </c>
      <c r="K4">
        <v>74</v>
      </c>
      <c r="L4">
        <v>69</v>
      </c>
      <c r="M4">
        <v>66</v>
      </c>
      <c r="N4">
        <v>6</v>
      </c>
      <c r="O4">
        <v>10</v>
      </c>
      <c r="P4">
        <v>70</v>
      </c>
      <c r="Q4">
        <v>40</v>
      </c>
      <c r="R4">
        <v>88</v>
      </c>
      <c r="S4">
        <v>600</v>
      </c>
      <c r="T4">
        <v>4</v>
      </c>
      <c r="U4">
        <v>8</v>
      </c>
      <c r="V4">
        <v>50</v>
      </c>
      <c r="W4">
        <v>4.5</v>
      </c>
      <c r="X4">
        <v>80</v>
      </c>
    </row>
    <row r="5" spans="1:24" x14ac:dyDescent="0.2">
      <c r="A5" t="s">
        <v>9</v>
      </c>
      <c r="B5">
        <v>98</v>
      </c>
      <c r="C5">
        <v>4</v>
      </c>
      <c r="D5">
        <v>8</v>
      </c>
      <c r="E5">
        <v>15</v>
      </c>
      <c r="F5">
        <v>2</v>
      </c>
      <c r="G5">
        <v>0</v>
      </c>
      <c r="H5">
        <v>270</v>
      </c>
      <c r="I5">
        <v>440</v>
      </c>
      <c r="J5">
        <v>1300</v>
      </c>
      <c r="K5">
        <v>76</v>
      </c>
      <c r="L5">
        <v>71</v>
      </c>
      <c r="M5">
        <v>69</v>
      </c>
      <c r="N5">
        <v>7</v>
      </c>
      <c r="O5">
        <v>9</v>
      </c>
      <c r="P5">
        <v>75</v>
      </c>
      <c r="Q5">
        <v>45</v>
      </c>
      <c r="R5">
        <v>90</v>
      </c>
      <c r="S5">
        <v>400</v>
      </c>
      <c r="T5">
        <v>5</v>
      </c>
      <c r="U5">
        <v>7</v>
      </c>
      <c r="V5">
        <v>55</v>
      </c>
      <c r="W5">
        <v>5</v>
      </c>
      <c r="X5">
        <v>85</v>
      </c>
    </row>
    <row r="6" spans="1:24" x14ac:dyDescent="0.2">
      <c r="A6" t="s">
        <v>86</v>
      </c>
    </row>
    <row r="7" spans="1:24" x14ac:dyDescent="0.2">
      <c r="A7" t="s">
        <v>87</v>
      </c>
    </row>
    <row r="8" spans="1:24" x14ac:dyDescent="0.2">
      <c r="A8" t="s">
        <v>88</v>
      </c>
    </row>
    <row r="9" spans="1:24" x14ac:dyDescent="0.2">
      <c r="A9" t="s">
        <v>89</v>
      </c>
    </row>
    <row r="10" spans="1:24" x14ac:dyDescent="0.2">
      <c r="A10" t="s">
        <v>90</v>
      </c>
    </row>
    <row r="11" spans="1:24" x14ac:dyDescent="0.2">
      <c r="A11" t="s">
        <v>91</v>
      </c>
    </row>
    <row r="12" spans="1:24" x14ac:dyDescent="0.2">
      <c r="A12" t="s">
        <v>92</v>
      </c>
    </row>
    <row r="13" spans="1:24" x14ac:dyDescent="0.2">
      <c r="A13" t="s">
        <v>93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zoomScale="188" zoomScaleNormal="188" workbookViewId="0">
      <selection activeCell="I11" sqref="I11"/>
    </sheetView>
  </sheetViews>
  <sheetFormatPr baseColWidth="10" defaultColWidth="8.83203125" defaultRowHeight="15" x14ac:dyDescent="0.2"/>
  <cols>
    <col min="1" max="1" width="6.5" bestFit="1" customWidth="1"/>
    <col min="2" max="3" width="16.5" bestFit="1" customWidth="1"/>
    <col min="4" max="4" width="15.6640625" bestFit="1" customWidth="1"/>
    <col min="5" max="5" width="13.6640625" bestFit="1" customWidth="1"/>
    <col min="6" max="6" width="20.33203125" bestFit="1" customWidth="1"/>
    <col min="7" max="7" width="28" bestFit="1" customWidth="1"/>
    <col min="8" max="8" width="20.83203125" customWidth="1"/>
  </cols>
  <sheetData>
    <row r="1" spans="1:7" x14ac:dyDescent="0.2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">
      <c r="A2" t="s">
        <v>6</v>
      </c>
      <c r="B2">
        <v>500</v>
      </c>
      <c r="C2">
        <v>300</v>
      </c>
      <c r="D2">
        <v>1000</v>
      </c>
      <c r="E2">
        <v>20</v>
      </c>
      <c r="F2">
        <v>200</v>
      </c>
      <c r="G2">
        <v>0</v>
      </c>
    </row>
    <row r="3" spans="1:7" x14ac:dyDescent="0.2">
      <c r="A3" t="s">
        <v>7</v>
      </c>
      <c r="B3">
        <v>750</v>
      </c>
      <c r="C3">
        <v>400</v>
      </c>
      <c r="D3">
        <v>1200</v>
      </c>
      <c r="E3">
        <v>22</v>
      </c>
      <c r="F3">
        <v>250</v>
      </c>
      <c r="G3">
        <v>200</v>
      </c>
    </row>
    <row r="4" spans="1:7" x14ac:dyDescent="0.2">
      <c r="A4" t="s">
        <v>8</v>
      </c>
      <c r="B4">
        <v>1000</v>
      </c>
      <c r="C4">
        <v>500</v>
      </c>
      <c r="D4">
        <v>1400</v>
      </c>
      <c r="E4">
        <v>24</v>
      </c>
      <c r="F4">
        <v>300</v>
      </c>
      <c r="G4">
        <v>400</v>
      </c>
    </row>
    <row r="5" spans="1:7" x14ac:dyDescent="0.2">
      <c r="A5" t="s">
        <v>9</v>
      </c>
      <c r="B5">
        <v>1250</v>
      </c>
      <c r="C5">
        <v>600</v>
      </c>
      <c r="D5">
        <v>1600</v>
      </c>
      <c r="E5">
        <v>26</v>
      </c>
      <c r="F5">
        <v>350</v>
      </c>
      <c r="G5">
        <v>600</v>
      </c>
    </row>
    <row r="6" spans="1:7" x14ac:dyDescent="0.2">
      <c r="A6" t="s">
        <v>86</v>
      </c>
    </row>
    <row r="7" spans="1:7" x14ac:dyDescent="0.2">
      <c r="A7" t="s">
        <v>87</v>
      </c>
    </row>
    <row r="8" spans="1:7" x14ac:dyDescent="0.2">
      <c r="A8" t="s">
        <v>88</v>
      </c>
    </row>
    <row r="9" spans="1:7" x14ac:dyDescent="0.2">
      <c r="A9" t="s">
        <v>89</v>
      </c>
    </row>
    <row r="10" spans="1:7" x14ac:dyDescent="0.2">
      <c r="A10" t="s">
        <v>90</v>
      </c>
    </row>
    <row r="11" spans="1:7" x14ac:dyDescent="0.2">
      <c r="A11" t="s">
        <v>91</v>
      </c>
    </row>
    <row r="12" spans="1:7" x14ac:dyDescent="0.2">
      <c r="A12" t="s">
        <v>92</v>
      </c>
    </row>
    <row r="13" spans="1:7" x14ac:dyDescent="0.2">
      <c r="A13" t="s">
        <v>93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zoomScale="171" zoomScaleNormal="171" workbookViewId="0">
      <selection activeCell="E9" sqref="E9"/>
    </sheetView>
  </sheetViews>
  <sheetFormatPr baseColWidth="10" defaultColWidth="8.83203125" defaultRowHeight="15" x14ac:dyDescent="0.2"/>
  <cols>
    <col min="1" max="5" width="20.83203125" customWidth="1"/>
  </cols>
  <sheetData>
    <row r="1" spans="1:5" x14ac:dyDescent="0.2">
      <c r="A1" s="2" t="s">
        <v>94</v>
      </c>
      <c r="B1" s="2"/>
      <c r="C1" s="2"/>
      <c r="D1" s="2"/>
      <c r="E1" s="2"/>
    </row>
    <row r="2" spans="1:5" x14ac:dyDescent="0.2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</row>
    <row r="3" spans="1:5" x14ac:dyDescent="0.2">
      <c r="A3" t="s">
        <v>72</v>
      </c>
      <c r="B3" t="s">
        <v>73</v>
      </c>
      <c r="C3">
        <v>150000</v>
      </c>
      <c r="D3">
        <v>150000</v>
      </c>
      <c r="E3">
        <v>100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zoomScale="173" zoomScaleNormal="173" workbookViewId="0">
      <selection activeCell="H16" sqref="H16"/>
    </sheetView>
  </sheetViews>
  <sheetFormatPr baseColWidth="10" defaultColWidth="8.83203125" defaultRowHeight="15" x14ac:dyDescent="0.2"/>
  <cols>
    <col min="1" max="3" width="25.83203125" customWidth="1"/>
  </cols>
  <sheetData>
    <row r="1" spans="1:3" x14ac:dyDescent="0.2">
      <c r="A1" s="1" t="s">
        <v>0</v>
      </c>
      <c r="B1" s="1" t="s">
        <v>74</v>
      </c>
      <c r="C1" s="1" t="s">
        <v>75</v>
      </c>
    </row>
    <row r="2" spans="1:3" x14ac:dyDescent="0.2">
      <c r="A2" t="s">
        <v>6</v>
      </c>
      <c r="B2">
        <v>5000</v>
      </c>
      <c r="C2">
        <v>60</v>
      </c>
    </row>
    <row r="3" spans="1:3" x14ac:dyDescent="0.2">
      <c r="A3" t="s">
        <v>7</v>
      </c>
      <c r="B3">
        <v>5200</v>
      </c>
      <c r="C3">
        <v>62</v>
      </c>
    </row>
    <row r="4" spans="1:3" x14ac:dyDescent="0.2">
      <c r="A4" t="s">
        <v>8</v>
      </c>
      <c r="B4">
        <v>5400</v>
      </c>
      <c r="C4">
        <v>64</v>
      </c>
    </row>
    <row r="5" spans="1:3" x14ac:dyDescent="0.2">
      <c r="A5" t="s">
        <v>9</v>
      </c>
      <c r="B5">
        <v>5600</v>
      </c>
      <c r="C5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5.83203125" customWidth="1"/>
    <col min="2" max="2" width="44.5" bestFit="1" customWidth="1"/>
  </cols>
  <sheetData>
    <row r="1" spans="1:2" x14ac:dyDescent="0.2">
      <c r="A1" s="1" t="s">
        <v>76</v>
      </c>
      <c r="B1" s="1" t="s">
        <v>77</v>
      </c>
    </row>
    <row r="2" spans="1:2" x14ac:dyDescent="0.2">
      <c r="A2" t="s">
        <v>78</v>
      </c>
      <c r="B2">
        <f>'RMR Overview'!B5</f>
        <v>11500</v>
      </c>
    </row>
    <row r="3" spans="1:2" x14ac:dyDescent="0.2">
      <c r="A3" t="s">
        <v>79</v>
      </c>
      <c r="B3">
        <f>'RMR Overview'!B5/'RMR Overview'!B2-1</f>
        <v>0.14999999999999991</v>
      </c>
    </row>
    <row r="4" spans="1:2" x14ac:dyDescent="0.2">
      <c r="A4" t="s">
        <v>80</v>
      </c>
      <c r="B4">
        <f>'RMR Overview'!C5</f>
        <v>6900</v>
      </c>
    </row>
    <row r="5" spans="1:2" x14ac:dyDescent="0.2">
      <c r="A5" t="s">
        <v>81</v>
      </c>
      <c r="B5">
        <f>'RMR Overview'!D5</f>
        <v>4600</v>
      </c>
    </row>
    <row r="6" spans="1:2" x14ac:dyDescent="0.2">
      <c r="A6" t="s">
        <v>82</v>
      </c>
      <c r="B6">
        <f>'Efficiency &amp; Profitability'!B5</f>
        <v>5600</v>
      </c>
    </row>
    <row r="7" spans="1:2" x14ac:dyDescent="0.2">
      <c r="A7" t="s">
        <v>83</v>
      </c>
      <c r="B7">
        <f>'Efficiency &amp; Profitability'!C5</f>
        <v>66</v>
      </c>
    </row>
    <row r="8" spans="1:2" x14ac:dyDescent="0.2">
      <c r="A8" t="s">
        <v>84</v>
      </c>
      <c r="B8" t="s">
        <v>85</v>
      </c>
    </row>
  </sheetData>
  <conditionalFormatting sqref="B3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RMR Overview</vt:lpstr>
      <vt:lpstr>FinOps KPIs</vt:lpstr>
      <vt:lpstr>SRE KPIs</vt:lpstr>
      <vt:lpstr>NRR &amp; Variable Revenue</vt:lpstr>
      <vt:lpstr>Contract Metrics</vt:lpstr>
      <vt:lpstr>Efficiency &amp; Profitability</vt:lpstr>
      <vt:lpstr>Dashboard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DeAcosta</cp:lastModifiedBy>
  <dcterms:created xsi:type="dcterms:W3CDTF">2025-05-06T01:50:40Z</dcterms:created>
  <dcterms:modified xsi:type="dcterms:W3CDTF">2025-05-06T17:03:12Z</dcterms:modified>
</cp:coreProperties>
</file>